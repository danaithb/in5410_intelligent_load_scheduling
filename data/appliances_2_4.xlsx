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stuja\OneDrive\Dokumenter\Studie\0. Etterstudium\Eninf Oblig 1\git2\in5410_intelligent_load_scheduling\data\"/>
    </mc:Choice>
  </mc:AlternateContent>
  <xr:revisionPtr revIDLastSave="0" documentId="13_ncr:1_{2E2E397C-1A09-4094-9BD1-A0DA4EA7DF4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F6" i="1" a="1"/>
  <c r="F6" i="1" s="1"/>
  <c r="F7" i="1" a="1"/>
  <c r="F7" i="1" s="1"/>
  <c r="F8" i="1" a="1"/>
  <c r="F8" i="1" s="1"/>
  <c r="F9" i="1" a="1"/>
  <c r="F9" i="1" s="1"/>
  <c r="F3" i="1" a="1"/>
  <c r="F3" i="1" s="1"/>
  <c r="F4" i="1" a="1"/>
  <c r="F4" i="1" s="1"/>
  <c r="F5" i="1" a="1"/>
  <c r="F5" i="1" s="1"/>
  <c r="F10" i="1" a="1"/>
  <c r="F10" i="1" s="1"/>
  <c r="F11" i="1" a="1"/>
  <c r="F11" i="1" s="1"/>
  <c r="F12" i="1" a="1"/>
  <c r="F12" i="1" s="1"/>
  <c r="F13" i="1" a="1"/>
  <c r="F13" i="1" s="1"/>
  <c r="F14" i="1" a="1"/>
  <c r="F14" i="1" s="1"/>
  <c r="F15" i="1" a="1"/>
  <c r="F15" i="1" s="1"/>
  <c r="F2" i="1" a="1"/>
  <c r="F2" i="1" s="1"/>
  <c r="D3" i="1"/>
  <c r="D4" i="1"/>
  <c r="D5" i="1"/>
  <c r="D6" i="1"/>
  <c r="D7" i="1"/>
  <c r="D8" i="1"/>
  <c r="D9" i="1"/>
  <c r="D10" i="1"/>
  <c r="D11" i="1"/>
  <c r="D12" i="1"/>
  <c r="D13" i="1"/>
  <c r="D14" i="1"/>
  <c r="D15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<sst xmlns="http://schemas.openxmlformats.org/spreadsheetml/2006/main" count="36" uniqueCount="30">
  <si>
    <t>appliances</t>
  </si>
  <si>
    <t>washing_machine</t>
  </si>
  <si>
    <t>electric_vehicle</t>
  </si>
  <si>
    <t>dishwasher</t>
  </si>
  <si>
    <t>lighting</t>
  </si>
  <si>
    <t>heating</t>
  </si>
  <si>
    <t>refrigerator_freezer</t>
  </si>
  <si>
    <t>electric_stove</t>
  </si>
  <si>
    <t>computer</t>
  </si>
  <si>
    <t>tv</t>
  </si>
  <si>
    <t>phone_charger</t>
  </si>
  <si>
    <t>hair_dryer</t>
  </si>
  <si>
    <t>cloth_dryer</t>
  </si>
  <si>
    <t>router</t>
  </si>
  <si>
    <t>duration_hours</t>
  </si>
  <si>
    <t>coffee_machine</t>
  </si>
  <si>
    <t>energy_kwh</t>
  </si>
  <si>
    <t>window_hours</t>
  </si>
  <si>
    <t>17-23</t>
  </si>
  <si>
    <t>17-19</t>
  </si>
  <si>
    <t>can_pause</t>
  </si>
  <si>
    <t>can_adjust</t>
  </si>
  <si>
    <t>window_slots</t>
  </si>
  <si>
    <t>duration_slots</t>
  </si>
  <si>
    <t>18-26</t>
  </si>
  <si>
    <t>17-31</t>
  </si>
  <si>
    <t>19-26, 30-31</t>
  </si>
  <si>
    <t>30-31</t>
  </si>
  <si>
    <t>17-23, 30-31</t>
  </si>
  <si>
    <t>10-34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</si>
</sst>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  <xf numFmtId="11" fontId="1" fillId="0" borderId="1" xfId="0" applyNumberFormat="1" applyFont="1" applyBorder="1" applyAlignment="1">
      <alignment horizontal="left" vertical="center" wrapText="1" indent="1" readingOrder="1"/>
    </xf>
    <xf numFmtId="11" fontId="0" fillId="0" borderId="0" xfId="0" applyNumberFormat="1"/>
    <xf numFmtId="17" fontId="2" fillId="0" borderId="1" xfId="0" applyNumberFormat="1" applyFont="1" applyBorder="1" applyAlignment="1">
      <alignment horizontal="left" vertical="center" wrapText="1" indent="1" readingOrder="1"/>
    </xf>
    <xf numFmtId="2" fontId="1" fillId="0" borderId="1" xfId="1" applyNumberFormat="1" applyFont="1" applyBorder="1" applyAlignment="1">
      <alignment horizontal="left" vertical="center" wrapText="1" indent="1" readingOrder="1"/>
    </xf>
    <xf numFmtId="2" fontId="1" fillId="0" borderId="1" xfId="0" applyNumberFormat="1" applyFont="1" applyBorder="1" applyAlignment="1">
      <alignment horizontal="left" vertical="center" wrapText="1" indent="1" readingOrder="1"/>
    </xf>
    <xf numFmtId="49" fontId="1" fillId="0" borderId="1" xfId="0" applyNumberFormat="1" applyFont="1" applyBorder="1" applyAlignment="1">
      <alignment horizontal="left" vertical="center" wrapText="1" indent="1" readingOrder="1"/>
    </xf>
    <xf numFmtId="0" fontId="0" fillId="0" borderId="0" xfId="0" applyAlignment="1">
      <alignment horizontal="left" indent="1"/>
    </xf>
  </cellXfs>
  <cellStyles count="2">
    <cellStyle name="Normal" xfId="0" builtinId="0"/>
    <cellStyle name="Tusenskilje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"/>
  <sheetViews>
    <sheetView tabSelected="1" zoomScale="115" zoomScaleNormal="115" workbookViewId="0">
      <selection activeCell="D2" sqref="D2"/>
    </sheetView>
  </sheetViews>
  <sheetFormatPr defaultColWidth="34.42578125" defaultRowHeight="15" x14ac:dyDescent="0.25"/>
  <cols>
    <col min="1" max="1" width="20.85546875" customWidth="1"/>
    <col min="2" max="2" width="14" style="6" customWidth="1"/>
    <col min="3" max="3" width="18" customWidth="1"/>
    <col min="4" max="4" width="16.42578125" customWidth="1"/>
    <col min="5" max="5" width="18.42578125" customWidth="1"/>
    <col min="6" max="6" width="18.7109375" customWidth="1"/>
    <col min="7" max="7" width="14.28515625" customWidth="1"/>
    <col min="8" max="8" width="11.5703125" customWidth="1"/>
  </cols>
  <sheetData>
    <row r="1" spans="1:9" ht="30.75" thickBot="1" x14ac:dyDescent="0.3">
      <c r="A1" s="1" t="s">
        <v>0</v>
      </c>
      <c r="B1" s="7" t="s">
        <v>16</v>
      </c>
      <c r="C1" s="1" t="s">
        <v>14</v>
      </c>
      <c r="D1" s="1" t="s">
        <v>23</v>
      </c>
      <c r="E1" s="1" t="s">
        <v>17</v>
      </c>
      <c r="F1" s="1" t="s">
        <v>22</v>
      </c>
      <c r="G1" s="1" t="s">
        <v>20</v>
      </c>
      <c r="H1" s="2" t="s">
        <v>21</v>
      </c>
    </row>
    <row r="2" spans="1:9" ht="15.75" thickBot="1" x14ac:dyDescent="0.3">
      <c r="A2" s="3" t="s">
        <v>1</v>
      </c>
      <c r="B2" s="9">
        <v>1.94</v>
      </c>
      <c r="C2" s="3">
        <v>2</v>
      </c>
      <c r="D2" s="3">
        <f>C2*4</f>
        <v>8</v>
      </c>
      <c r="E2" s="3" t="s">
        <v>18</v>
      </c>
      <c r="F2" s="3" t="str" cm="1">
        <f t="array" ref="F2">_xlfn.LET(
  _xlpm.txt, SUBSTITUTE(E2," ",""),
  _xlpm.parts, _xlfn.TEXTSPLIT(_xlpm.txt,","),
  _xlpm.out, _xlfn.MAP(_xlpm.parts, _xlfn.LAMBDA(_xlpm.p,
    _xlfn.LET(
      _xlpm.s, VALUE(_xlfn.TEXTBEFORE(_xlpm.p,"-")),
      _xlpm.e, VALUE(_xlfn.TEXTAFTER(_xlpm.p,"-")),
      _xlpm.sslot, 4*_xlpm.s+1,
      _xlpm.eslot, 4*_xlpm.e+1,
      IF(
        _xlpm.s&lt;_xlpm.e,
        _xlpm.sslot&amp;"-"&amp;_xlpm.eslot,
        _xlpm.sslot&amp;"-"&amp;97&amp;", "&amp;1&amp;"-"&amp;_xlpm.eslot
      )
    )
  )),
  _xlfn.TEXTJOIN(", ", TRUE, _xlpm.out)
)</f>
        <v>69-93</v>
      </c>
      <c r="G2" s="3">
        <v>0</v>
      </c>
      <c r="H2" s="3">
        <v>0</v>
      </c>
    </row>
    <row r="3" spans="1:9" ht="15.75" thickBot="1" x14ac:dyDescent="0.3">
      <c r="A3" s="3" t="s">
        <v>12</v>
      </c>
      <c r="B3" s="8">
        <v>2.5</v>
      </c>
      <c r="C3" s="3">
        <v>2</v>
      </c>
      <c r="D3" s="3">
        <f t="shared" ref="D3:D15" si="0">C3*4</f>
        <v>8</v>
      </c>
      <c r="E3" s="10" t="s">
        <v>24</v>
      </c>
      <c r="F3" s="3" t="str" cm="1">
        <f t="array" ref="F3">_xlfn.LET(
  _xlpm.txt, SUBSTITUTE(E3," ",""),
  _xlpm.parts, _xlfn.TEXTSPLIT(_xlpm.txt,","),
  _xlpm.out, _xlfn.MAP(_xlpm.parts, _xlfn.LAMBDA(_xlpm.p,
    _xlfn.LET(
      _xlpm.s, VALUE(_xlfn.TEXTBEFORE(_xlpm.p,"-")),
      _xlpm.e, VALUE(_xlfn.TEXTAFTER(_xlpm.p,"-")),
      _xlpm.sslot, 4*_xlpm.s+1,
      _xlpm.eslot, 4*_xlpm.e+1,
      IF(
        _xlpm.s&lt;_xlpm.e,
        _xlpm.sslot&amp;"-"&amp;_xlpm.eslot,
        _xlpm.sslot&amp;"-"&amp;97&amp;", "&amp;1&amp;"-"&amp;_xlpm.eslot
      )
    )
  )),
  _xlfn.TEXTJOIN(", ", TRUE, _xlpm.out)
)</f>
        <v>73-105</v>
      </c>
      <c r="G3" s="3">
        <v>0</v>
      </c>
      <c r="H3" s="3">
        <v>0</v>
      </c>
    </row>
    <row r="4" spans="1:9" ht="15.75" thickBot="1" x14ac:dyDescent="0.3">
      <c r="A4" s="3" t="s">
        <v>2</v>
      </c>
      <c r="B4" s="9">
        <v>9.9</v>
      </c>
      <c r="C4" s="3">
        <v>2.75</v>
      </c>
      <c r="D4" s="3">
        <f t="shared" si="0"/>
        <v>11</v>
      </c>
      <c r="E4" s="10" t="s">
        <v>25</v>
      </c>
      <c r="F4" s="3" t="str" cm="1">
        <f t="array" ref="F4">_xlfn.LET(
  _xlpm.txt, SUBSTITUTE(E4," ",""),
  _xlpm.parts, _xlfn.TEXTSPLIT(_xlpm.txt,","),
  _xlpm.out, _xlfn.MAP(_xlpm.parts, _xlfn.LAMBDA(_xlpm.p,
    _xlfn.LET(
      _xlpm.s, VALUE(_xlfn.TEXTBEFORE(_xlpm.p,"-")),
      _xlpm.e, VALUE(_xlfn.TEXTAFTER(_xlpm.p,"-")),
      _xlpm.sslot, 4*_xlpm.s+1,
      _xlpm.eslot, 4*_xlpm.e+1,
      IF(
        _xlpm.s&lt;_xlpm.e,
        _xlpm.sslot&amp;"-"&amp;_xlpm.eslot,
        _xlpm.sslot&amp;"-"&amp;97&amp;", "&amp;1&amp;"-"&amp;_xlpm.eslot
      )
    )
  )),
  _xlfn.TEXTJOIN(", ", TRUE, _xlpm.out)
)</f>
        <v>69-125</v>
      </c>
      <c r="G4" s="3">
        <v>1</v>
      </c>
      <c r="H4" s="3">
        <v>1</v>
      </c>
    </row>
    <row r="5" spans="1:9" ht="15.75" thickBot="1" x14ac:dyDescent="0.3">
      <c r="A5" s="3" t="s">
        <v>3</v>
      </c>
      <c r="B5" s="9">
        <v>1.44</v>
      </c>
      <c r="C5" s="3">
        <v>3</v>
      </c>
      <c r="D5" s="3">
        <f t="shared" si="0"/>
        <v>12</v>
      </c>
      <c r="E5" s="10" t="s">
        <v>26</v>
      </c>
      <c r="F5" s="3" t="str" cm="1">
        <f t="array" ref="F5">_xlfn.LET(
  _xlpm.txt, SUBSTITUTE(E5," ",""),
  _xlpm.parts, _xlfn.TEXTSPLIT(_xlpm.txt,","),
  _xlpm.out, _xlfn.MAP(_xlpm.parts, _xlfn.LAMBDA(_xlpm.p,
    _xlfn.LET(
      _xlpm.s, VALUE(_xlfn.TEXTBEFORE(_xlpm.p,"-")),
      _xlpm.e, VALUE(_xlfn.TEXTAFTER(_xlpm.p,"-")),
      _xlpm.sslot, 4*_xlpm.s+1,
      _xlpm.eslot, 4*_xlpm.e+1,
      IF(
        _xlpm.s&lt;_xlpm.e,
        _xlpm.sslot&amp;"-"&amp;_xlpm.eslot,
        _xlpm.sslot&amp;"-"&amp;97&amp;", "&amp;1&amp;"-"&amp;_xlpm.eslot
      )
    )
  )),
  _xlfn.TEXTJOIN(", ", TRUE, _xlpm.out)
)</f>
        <v>77-105, 121-125</v>
      </c>
      <c r="G5" s="3">
        <v>0</v>
      </c>
      <c r="H5" s="3">
        <v>0</v>
      </c>
    </row>
    <row r="6" spans="1:9" ht="15.75" thickBot="1" x14ac:dyDescent="0.3">
      <c r="A6" s="3" t="s">
        <v>4</v>
      </c>
      <c r="B6" s="9">
        <v>1.5</v>
      </c>
      <c r="C6" s="3">
        <v>7</v>
      </c>
      <c r="D6" s="3">
        <f t="shared" si="0"/>
        <v>28</v>
      </c>
      <c r="E6" s="10" t="s">
        <v>29</v>
      </c>
      <c r="F6" s="3" t="str" cm="1">
        <f t="array" ref="F6">_xlfn.LET(
  _xlpm.txt, SUBSTITUTE(E6," ",""),
  _xlpm.parts, _xlfn.TEXTSPLIT(_xlpm.txt,","),
  _xlpm.out, _xlfn.MAP(_xlpm.parts, _xlfn.LAMBDA(_xlpm.p,
    _xlfn.LET(
      _xlpm.s, VALUE(_xlfn.TEXTBEFORE(_xlpm.p,"-")),
      _xlpm.e, VALUE(_xlfn.TEXTAFTER(_xlpm.p,"-")),
      _xlpm.sslot, 4*_xlpm.s+1,
      _xlpm.eslot, 4*_xlpm.e+1,
      IF(
        _xlpm.s&lt;_xlpm.e,
        _xlpm.sslot&amp;"-"&amp;_xlpm.eslot,
        _xlpm.sslot&amp;"-"&amp;97&amp;", "&amp;1&amp;"-"&amp;_xlpm.eslot
      )
    )
  )),
  _xlfn.TEXTJOIN(", ", TRUE, _xlpm.out)
)</f>
        <v>41-137</v>
      </c>
      <c r="G6" s="3">
        <v>1</v>
      </c>
      <c r="H6" s="3">
        <v>0</v>
      </c>
    </row>
    <row r="7" spans="1:9" ht="15.75" thickBot="1" x14ac:dyDescent="0.3">
      <c r="A7" s="3" t="s">
        <v>5</v>
      </c>
      <c r="B7" s="9">
        <v>8</v>
      </c>
      <c r="C7" s="3">
        <v>24</v>
      </c>
      <c r="D7" s="3">
        <f t="shared" si="0"/>
        <v>96</v>
      </c>
      <c r="E7" s="10" t="s">
        <v>29</v>
      </c>
      <c r="F7" s="3" t="str" cm="1">
        <f t="array" ref="F7">_xlfn.LET(
  _xlpm.txt, SUBSTITUTE(E7," ",""),
  _xlpm.parts, _xlfn.TEXTSPLIT(_xlpm.txt,","),
  _xlpm.out, _xlfn.MAP(_xlpm.parts, _xlfn.LAMBDA(_xlpm.p,
    _xlfn.LET(
      _xlpm.s, VALUE(_xlfn.TEXTBEFORE(_xlpm.p,"-")),
      _xlpm.e, VALUE(_xlfn.TEXTAFTER(_xlpm.p,"-")),
      _xlpm.sslot, 4*_xlpm.s+1,
      _xlpm.eslot, 4*_xlpm.e+1,
      IF(
        _xlpm.s&lt;_xlpm.e,
        _xlpm.sslot&amp;"-"&amp;_xlpm.eslot,
        _xlpm.sslot&amp;"-"&amp;97&amp;", "&amp;1&amp;"-"&amp;_xlpm.eslot
      )
    )
  )),
  _xlfn.TEXTJOIN(", ", TRUE, _xlpm.out)
)</f>
        <v>41-137</v>
      </c>
      <c r="G7" s="3">
        <v>0</v>
      </c>
      <c r="H7" s="3">
        <v>1</v>
      </c>
    </row>
    <row r="8" spans="1:9" ht="15.75" thickBot="1" x14ac:dyDescent="0.3">
      <c r="A8" s="3" t="s">
        <v>13</v>
      </c>
      <c r="B8" s="9">
        <v>0.14000000000000001</v>
      </c>
      <c r="C8" s="3">
        <v>24</v>
      </c>
      <c r="D8" s="3">
        <f t="shared" si="0"/>
        <v>96</v>
      </c>
      <c r="E8" s="10" t="s">
        <v>29</v>
      </c>
      <c r="F8" s="3" t="str" cm="1">
        <f t="array" ref="F8">_xlfn.LET(
  _xlpm.txt, SUBSTITUTE(E8," ",""),
  _xlpm.parts, _xlfn.TEXTSPLIT(_xlpm.txt,","),
  _xlpm.out, _xlfn.MAP(_xlpm.parts, _xlfn.LAMBDA(_xlpm.p,
    _xlfn.LET(
      _xlpm.s, VALUE(_xlfn.TEXTBEFORE(_xlpm.p,"-")),
      _xlpm.e, VALUE(_xlfn.TEXTAFTER(_xlpm.p,"-")),
      _xlpm.sslot, 4*_xlpm.s+1,
      _xlpm.eslot, 4*_xlpm.e+1,
      IF(
        _xlpm.s&lt;_xlpm.e,
        _xlpm.sslot&amp;"-"&amp;_xlpm.eslot,
        _xlpm.sslot&amp;"-"&amp;97&amp;", "&amp;1&amp;"-"&amp;_xlpm.eslot
      )
    )
  )),
  _xlfn.TEXTJOIN(", ", TRUE, _xlpm.out)
)</f>
        <v>41-137</v>
      </c>
      <c r="G8" s="3">
        <v>0</v>
      </c>
      <c r="H8" s="3">
        <v>0</v>
      </c>
      <c r="I8" s="11"/>
    </row>
    <row r="9" spans="1:9" ht="15.75" thickBot="1" x14ac:dyDescent="0.3">
      <c r="A9" s="3" t="s">
        <v>6</v>
      </c>
      <c r="B9" s="9">
        <v>1.32</v>
      </c>
      <c r="C9" s="3">
        <v>24</v>
      </c>
      <c r="D9" s="3">
        <f t="shared" si="0"/>
        <v>96</v>
      </c>
      <c r="E9" s="10" t="s">
        <v>29</v>
      </c>
      <c r="F9" s="3" t="str" cm="1">
        <f t="array" ref="F9">_xlfn.LET(
  _xlpm.txt, SUBSTITUTE(E9," ",""),
  _xlpm.parts, _xlfn.TEXTSPLIT(_xlpm.txt,","),
  _xlpm.out, _xlfn.MAP(_xlpm.parts, _xlfn.LAMBDA(_xlpm.p,
    _xlfn.LET(
      _xlpm.s, VALUE(_xlfn.TEXTBEFORE(_xlpm.p,"-")),
      _xlpm.e, VALUE(_xlfn.TEXTAFTER(_xlpm.p,"-")),
      _xlpm.sslot, 4*_xlpm.s+1,
      _xlpm.eslot, 4*_xlpm.e+1,
      IF(
        _xlpm.s&lt;_xlpm.e,
        _xlpm.sslot&amp;"-"&amp;_xlpm.eslot,
        _xlpm.sslot&amp;"-"&amp;97&amp;", "&amp;1&amp;"-"&amp;_xlpm.eslot
      )
    )
  )),
  _xlfn.TEXTJOIN(", ", TRUE, _xlpm.out)
)</f>
        <v>41-137</v>
      </c>
      <c r="G9" s="3">
        <v>0</v>
      </c>
      <c r="H9" s="3">
        <v>0</v>
      </c>
    </row>
    <row r="10" spans="1:9" ht="15.75" thickBot="1" x14ac:dyDescent="0.3">
      <c r="A10" s="3" t="s">
        <v>7</v>
      </c>
      <c r="B10" s="9">
        <v>3.9</v>
      </c>
      <c r="C10" s="3">
        <v>2</v>
      </c>
      <c r="D10" s="3">
        <f t="shared" si="0"/>
        <v>8</v>
      </c>
      <c r="E10" s="10" t="s">
        <v>19</v>
      </c>
      <c r="F10" s="3" t="str" cm="1">
        <f t="array" ref="F10">_xlfn.LET(
  _xlpm.txt, SUBSTITUTE(E10," ",""),
  _xlpm.parts, _xlfn.TEXTSPLIT(_xlpm.txt,","),
  _xlpm.out, _xlfn.MAP(_xlpm.parts, _xlfn.LAMBDA(_xlpm.p,
    _xlfn.LET(
      _xlpm.s, VALUE(_xlfn.TEXTBEFORE(_xlpm.p,"-")),
      _xlpm.e, VALUE(_xlfn.TEXTAFTER(_xlpm.p,"-")),
      _xlpm.sslot, 4*_xlpm.s+1,
      _xlpm.eslot, 4*_xlpm.e+1,
      IF(
        _xlpm.s&lt;_xlpm.e,
        _xlpm.sslot&amp;"-"&amp;_xlpm.eslot,
        _xlpm.sslot&amp;"-"&amp;97&amp;", "&amp;1&amp;"-"&amp;_xlpm.eslot
      )
    )
  )),
  _xlfn.TEXTJOIN(", ", TRUE, _xlpm.out)
)</f>
        <v>69-77</v>
      </c>
      <c r="G10" s="3">
        <v>0</v>
      </c>
      <c r="H10" s="3">
        <v>0</v>
      </c>
    </row>
    <row r="11" spans="1:9" ht="15.75" thickBot="1" x14ac:dyDescent="0.3">
      <c r="A11" s="3" t="s">
        <v>9</v>
      </c>
      <c r="B11" s="9">
        <v>0.41</v>
      </c>
      <c r="C11" s="3">
        <v>5</v>
      </c>
      <c r="D11" s="3">
        <f t="shared" si="0"/>
        <v>20</v>
      </c>
      <c r="E11" s="10" t="s">
        <v>18</v>
      </c>
      <c r="F11" s="3" t="str" cm="1">
        <f t="array" ref="F11">_xlfn.LET(
  _xlpm.txt, SUBSTITUTE(E11," ",""),
  _xlpm.parts, _xlfn.TEXTSPLIT(_xlpm.txt,","),
  _xlpm.out, _xlfn.MAP(_xlpm.parts, _xlfn.LAMBDA(_xlpm.p,
    _xlfn.LET(
      _xlpm.s, VALUE(_xlfn.TEXTBEFORE(_xlpm.p,"-")),
      _xlpm.e, VALUE(_xlfn.TEXTAFTER(_xlpm.p,"-")),
      _xlpm.sslot, 4*_xlpm.s+1,
      _xlpm.eslot, 4*_xlpm.e+1,
      IF(
        _xlpm.s&lt;_xlpm.e,
        _xlpm.sslot&amp;"-"&amp;_xlpm.eslot,
        _xlpm.sslot&amp;"-"&amp;97&amp;", "&amp;1&amp;"-"&amp;_xlpm.eslot
      )
    )
  )),
  _xlfn.TEXTJOIN(", ", TRUE, _xlpm.out)
)</f>
        <v>69-93</v>
      </c>
      <c r="G11" s="3">
        <v>1</v>
      </c>
      <c r="H11" s="3">
        <v>0</v>
      </c>
    </row>
    <row r="12" spans="1:9" ht="15.75" thickBot="1" x14ac:dyDescent="0.3">
      <c r="A12" s="3" t="s">
        <v>8</v>
      </c>
      <c r="B12" s="9">
        <v>1.2</v>
      </c>
      <c r="C12" s="3">
        <v>5</v>
      </c>
      <c r="D12" s="3">
        <f t="shared" si="0"/>
        <v>20</v>
      </c>
      <c r="E12" s="10" t="s">
        <v>18</v>
      </c>
      <c r="F12" s="3" t="str" cm="1">
        <f t="array" ref="F12">_xlfn.LET(
  _xlpm.txt, SUBSTITUTE(E12," ",""),
  _xlpm.parts, _xlfn.TEXTSPLIT(_xlpm.txt,","),
  _xlpm.out, _xlfn.MAP(_xlpm.parts, _xlfn.LAMBDA(_xlpm.p,
    _xlfn.LET(
      _xlpm.s, VALUE(_xlfn.TEXTBEFORE(_xlpm.p,"-")),
      _xlpm.e, VALUE(_xlfn.TEXTAFTER(_xlpm.p,"-")),
      _xlpm.sslot, 4*_xlpm.s+1,
      _xlpm.eslot, 4*_xlpm.e+1,
      IF(
        _xlpm.s&lt;_xlpm.e,
        _xlpm.sslot&amp;"-"&amp;_xlpm.eslot,
        _xlpm.sslot&amp;"-"&amp;97&amp;", "&amp;1&amp;"-"&amp;_xlpm.eslot
      )
    )
  )),
  _xlfn.TEXTJOIN(", ", TRUE, _xlpm.out)
)</f>
        <v>69-93</v>
      </c>
      <c r="G12" s="3">
        <v>1</v>
      </c>
      <c r="H12" s="3">
        <v>0</v>
      </c>
    </row>
    <row r="13" spans="1:9" ht="15.75" thickBot="1" x14ac:dyDescent="0.3">
      <c r="A13" s="3" t="s">
        <v>15</v>
      </c>
      <c r="B13" s="9">
        <v>0.26</v>
      </c>
      <c r="C13" s="3">
        <v>0.33</v>
      </c>
      <c r="D13" s="3">
        <f t="shared" si="0"/>
        <v>1.32</v>
      </c>
      <c r="E13" s="10" t="s">
        <v>27</v>
      </c>
      <c r="F13" s="3" t="str" cm="1">
        <f t="array" ref="F13">_xlfn.LET(
  _xlpm.txt, SUBSTITUTE(E13," ",""),
  _xlpm.parts, _xlfn.TEXTSPLIT(_xlpm.txt,","),
  _xlpm.out, _xlfn.MAP(_xlpm.parts, _xlfn.LAMBDA(_xlpm.p,
    _xlfn.LET(
      _xlpm.s, VALUE(_xlfn.TEXTBEFORE(_xlpm.p,"-")),
      _xlpm.e, VALUE(_xlfn.TEXTAFTER(_xlpm.p,"-")),
      _xlpm.sslot, 4*_xlpm.s+1,
      _xlpm.eslot, 4*_xlpm.e+1,
      IF(
        _xlpm.s&lt;_xlpm.e,
        _xlpm.sslot&amp;"-"&amp;_xlpm.eslot,
        _xlpm.sslot&amp;"-"&amp;97&amp;", "&amp;1&amp;"-"&amp;_xlpm.eslot
      )
    )
  )),
  _xlfn.TEXTJOIN(", ", TRUE, _xlpm.out)
)</f>
        <v>121-125</v>
      </c>
      <c r="G13" s="3">
        <v>0</v>
      </c>
      <c r="H13" s="3">
        <v>0</v>
      </c>
    </row>
    <row r="14" spans="1:9" ht="15.75" thickBot="1" x14ac:dyDescent="0.3">
      <c r="A14" s="3" t="s">
        <v>10</v>
      </c>
      <c r="B14" s="9">
        <v>0.02</v>
      </c>
      <c r="C14" s="3">
        <v>6</v>
      </c>
      <c r="D14" s="3">
        <f t="shared" si="0"/>
        <v>24</v>
      </c>
      <c r="E14" s="10" t="s">
        <v>28</v>
      </c>
      <c r="F14" s="3" t="str" cm="1">
        <f t="array" ref="F14">_xlfn.LET(
  _xlpm.txt, SUBSTITUTE(E14," ",""),
  _xlpm.parts, _xlfn.TEXTSPLIT(_xlpm.txt,","),
  _xlpm.out, _xlfn.MAP(_xlpm.parts, _xlfn.LAMBDA(_xlpm.p,
    _xlfn.LET(
      _xlpm.s, VALUE(_xlfn.TEXTBEFORE(_xlpm.p,"-")),
      _xlpm.e, VALUE(_xlfn.TEXTAFTER(_xlpm.p,"-")),
      _xlpm.sslot, 4*_xlpm.s+1,
      _xlpm.eslot, 4*_xlpm.e+1,
      IF(
        _xlpm.s&lt;_xlpm.e,
        _xlpm.sslot&amp;"-"&amp;_xlpm.eslot,
        _xlpm.sslot&amp;"-"&amp;97&amp;", "&amp;1&amp;"-"&amp;_xlpm.eslot
      )
    )
  )),
  _xlfn.TEXTJOIN(", ", TRUE, _xlpm.out)
)</f>
        <v>69-93, 121-125</v>
      </c>
      <c r="G14" s="3">
        <v>1</v>
      </c>
      <c r="H14" s="3">
        <v>0</v>
      </c>
    </row>
    <row r="15" spans="1:9" ht="15.75" thickBot="1" x14ac:dyDescent="0.3">
      <c r="A15" s="3" t="s">
        <v>11</v>
      </c>
      <c r="B15" s="9">
        <v>0.6</v>
      </c>
      <c r="C15" s="3">
        <v>0.4</v>
      </c>
      <c r="D15" s="3">
        <f t="shared" si="0"/>
        <v>1.6</v>
      </c>
      <c r="E15" s="10" t="s">
        <v>28</v>
      </c>
      <c r="F15" s="3" t="str" cm="1">
        <f t="array" ref="F15">_xlfn.LET(
  _xlpm.txt, SUBSTITUTE(E15," ",""),
  _xlpm.parts, _xlfn.TEXTSPLIT(_xlpm.txt,","),
  _xlpm.out, _xlfn.MAP(_xlpm.parts, _xlfn.LAMBDA(_xlpm.p,
    _xlfn.LET(
      _xlpm.s, VALUE(_xlfn.TEXTBEFORE(_xlpm.p,"-")),
      _xlpm.e, VALUE(_xlfn.TEXTAFTER(_xlpm.p,"-")),
      _xlpm.sslot, 4*_xlpm.s+1,
      _xlpm.eslot, 4*_xlpm.e+1,
      IF(
        _xlpm.s&lt;_xlpm.e,
        _xlpm.sslot&amp;"-"&amp;_xlpm.eslot,
        _xlpm.sslot&amp;"-"&amp;97&amp;", "&amp;1&amp;"-"&amp;_xlpm.eslot
      )
    )
  )),
  _xlfn.TEXTJOIN(", ", TRUE, _xlpm.out)
)</f>
        <v>69-93, 121-125</v>
      </c>
      <c r="G15" s="3">
        <v>0</v>
      </c>
      <c r="H15" s="3">
        <v>0</v>
      </c>
    </row>
    <row r="16" spans="1:9" ht="15.75" thickBot="1" x14ac:dyDescent="0.3">
      <c r="A16" s="3"/>
      <c r="B16" s="9"/>
      <c r="C16" s="3"/>
      <c r="D16" s="3"/>
      <c r="E16" s="3"/>
      <c r="F16" s="3"/>
      <c r="G16" s="3"/>
      <c r="H16" s="4"/>
    </row>
    <row r="17" spans="1:8" ht="15.75" thickBot="1" x14ac:dyDescent="0.3">
      <c r="A17" s="3"/>
      <c r="B17" s="9"/>
      <c r="C17" s="3"/>
      <c r="D17" s="3"/>
      <c r="E17" s="3"/>
      <c r="F17" s="3"/>
      <c r="G17" s="3"/>
      <c r="H17" s="4"/>
    </row>
    <row r="18" spans="1:8" ht="15.75" thickBot="1" x14ac:dyDescent="0.3">
      <c r="A18" s="3"/>
      <c r="B18" s="5"/>
      <c r="C18" s="3"/>
      <c r="D18" s="3"/>
      <c r="E18" s="3"/>
      <c r="F18" s="3"/>
      <c r="G18" s="3"/>
      <c r="H18" s="4"/>
    </row>
    <row r="19" spans="1:8" ht="15.75" thickBot="1" x14ac:dyDescent="0.3">
      <c r="A19" s="3"/>
      <c r="B19" s="5"/>
      <c r="C19" s="3"/>
      <c r="D19" s="3"/>
      <c r="E19" s="3"/>
      <c r="F19" s="3"/>
      <c r="G19" s="3"/>
      <c r="H19" s="4"/>
    </row>
    <row r="20" spans="1:8" ht="15.75" thickBot="1" x14ac:dyDescent="0.3">
      <c r="A20" s="3"/>
      <c r="B20" s="5"/>
      <c r="C20" s="3"/>
      <c r="D20" s="3"/>
      <c r="E20" s="3"/>
      <c r="F20" s="3"/>
      <c r="G20" s="3"/>
      <c r="H20" s="4"/>
    </row>
    <row r="21" spans="1:8" ht="15.75" thickBot="1" x14ac:dyDescent="0.3">
      <c r="A21" s="3"/>
      <c r="B21" s="5"/>
      <c r="C21" s="3"/>
      <c r="D21" s="3"/>
      <c r="E21" s="3"/>
      <c r="F21" s="3"/>
      <c r="G21" s="3"/>
      <c r="H21" s="4"/>
    </row>
    <row r="22" spans="1:8" ht="15.75" thickBot="1" x14ac:dyDescent="0.3">
      <c r="A22" s="3"/>
      <c r="B22" s="5"/>
      <c r="C22" s="3"/>
      <c r="D22" s="3"/>
      <c r="E22" s="3"/>
      <c r="F22" s="3"/>
      <c r="G22" s="3"/>
      <c r="H22" s="4"/>
    </row>
    <row r="23" spans="1:8" ht="15.75" thickBot="1" x14ac:dyDescent="0.3">
      <c r="A23" s="3"/>
      <c r="B23" s="5"/>
      <c r="C23" s="3"/>
      <c r="D23" s="3"/>
      <c r="E23" s="3"/>
      <c r="F23" s="3"/>
      <c r="G23" s="3"/>
      <c r="H23" s="4"/>
    </row>
    <row r="24" spans="1:8" ht="15.75" thickBot="1" x14ac:dyDescent="0.3">
      <c r="A24" s="3"/>
      <c r="B24" s="5"/>
      <c r="C24" s="3"/>
      <c r="D24" s="3"/>
      <c r="E24" s="3"/>
      <c r="F24" s="3"/>
      <c r="G24" s="3"/>
      <c r="H24" s="4"/>
    </row>
    <row r="25" spans="1:8" ht="15.75" thickBot="1" x14ac:dyDescent="0.3">
      <c r="A25" s="3"/>
      <c r="B25" s="5"/>
      <c r="C25" s="3"/>
      <c r="D25" s="3"/>
      <c r="E25" s="3"/>
      <c r="F25" s="3"/>
      <c r="G25" s="3"/>
      <c r="H25" s="4"/>
    </row>
    <row r="26" spans="1:8" ht="15.75" thickBot="1" x14ac:dyDescent="0.3">
      <c r="A26" s="3"/>
      <c r="B26" s="5"/>
      <c r="C26" s="3"/>
      <c r="D26" s="3"/>
      <c r="E26" s="3"/>
      <c r="F26" s="3"/>
      <c r="G26" s="3"/>
      <c r="H26" s="4"/>
    </row>
    <row r="27" spans="1:8" ht="15.75" thickBot="1" x14ac:dyDescent="0.3">
      <c r="A27" s="3"/>
    </row>
    <row r="28" spans="1:8" ht="15.75" thickBot="1" x14ac:dyDescent="0.3">
      <c r="A28" s="3"/>
    </row>
    <row r="29" spans="1:8" ht="15.75" thickBot="1" x14ac:dyDescent="0.3">
      <c r="A29" s="3"/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Rekneark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Jakob Stueland</dc:creator>
  <cp:lastModifiedBy>Jakob Stueland</cp:lastModifiedBy>
  <dcterms:created xsi:type="dcterms:W3CDTF">2015-06-05T18:17:20Z</dcterms:created>
  <dcterms:modified xsi:type="dcterms:W3CDTF">2026-03-06T19:57:32Z</dcterms:modified>
</cp:coreProperties>
</file>